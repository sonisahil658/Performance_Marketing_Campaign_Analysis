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\Performance marketing project files\"/>
    </mc:Choice>
  </mc:AlternateContent>
  <xr:revisionPtr revIDLastSave="0" documentId="8_{1A166ABA-1782-4DD3-9B5E-62403601FD05}" xr6:coauthVersionLast="47" xr6:coauthVersionMax="47" xr10:uidLastSave="{00000000-0000-0000-0000-000000000000}"/>
  <bookViews>
    <workbookView xWindow="-108" yWindow="-108" windowWidth="23256" windowHeight="12456" xr2:uid="{1630A1A4-4BB3-4B4C-AA23-D17996D77FF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C20" i="1"/>
  <c r="B20" i="1"/>
  <c r="G20" i="1" s="1"/>
  <c r="D19" i="1"/>
  <c r="C19" i="1"/>
  <c r="B19" i="1"/>
  <c r="G19" i="1" s="1"/>
  <c r="D18" i="1"/>
  <c r="C18" i="1"/>
  <c r="B18" i="1"/>
  <c r="G18" i="1" s="1"/>
  <c r="D17" i="1"/>
  <c r="C17" i="1"/>
  <c r="B17" i="1"/>
  <c r="G17" i="1" s="1"/>
  <c r="D16" i="1"/>
  <c r="C16" i="1"/>
  <c r="B16" i="1"/>
  <c r="G16" i="1" s="1"/>
  <c r="D12" i="1"/>
  <c r="C12" i="1"/>
  <c r="B12" i="1"/>
  <c r="G12" i="1" s="1"/>
  <c r="D11" i="1"/>
  <c r="C11" i="1"/>
  <c r="B11" i="1"/>
  <c r="G11" i="1" s="1"/>
  <c r="D10" i="1"/>
  <c r="C10" i="1"/>
  <c r="B10" i="1"/>
  <c r="G10" i="1" s="1"/>
  <c r="D9" i="1"/>
  <c r="C9" i="1"/>
  <c r="B9" i="1"/>
  <c r="G9" i="1" s="1"/>
  <c r="D8" i="1"/>
  <c r="C8" i="1"/>
  <c r="B8" i="1"/>
  <c r="G8" i="1" s="1"/>
  <c r="G4" i="1"/>
  <c r="F4" i="1"/>
  <c r="E4" i="1"/>
  <c r="C4" i="1"/>
  <c r="B4" i="1"/>
  <c r="A4" i="1"/>
  <c r="D4" i="1" s="1"/>
  <c r="H20" i="1" l="1"/>
  <c r="F20" i="1"/>
  <c r="E20" i="1"/>
  <c r="E19" i="1"/>
  <c r="F19" i="1"/>
  <c r="H19" i="1"/>
  <c r="H18" i="1"/>
  <c r="F18" i="1"/>
  <c r="E18" i="1"/>
  <c r="H17" i="1"/>
  <c r="F17" i="1"/>
  <c r="E17" i="1"/>
  <c r="E16" i="1"/>
  <c r="H16" i="1"/>
  <c r="F16" i="1"/>
  <c r="H12" i="1"/>
  <c r="E12" i="1"/>
  <c r="F12" i="1"/>
  <c r="H11" i="1"/>
  <c r="F11" i="1"/>
  <c r="E11" i="1"/>
  <c r="H10" i="1"/>
  <c r="F10" i="1"/>
  <c r="E10" i="1"/>
  <c r="F9" i="1"/>
  <c r="H9" i="1"/>
  <c r="E9" i="1"/>
  <c r="H8" i="1"/>
  <c r="F8" i="1"/>
  <c r="E8" i="1"/>
</calcChain>
</file>

<file path=xl/sharedStrings.xml><?xml version="1.0" encoding="utf-8"?>
<sst xmlns="http://schemas.openxmlformats.org/spreadsheetml/2006/main" count="27" uniqueCount="19">
  <si>
    <t>PERFORMANCE MARKETING — CAMPAIGN ANALYSIS REPORT</t>
  </si>
  <si>
    <t>OVERALL SUMMARY</t>
  </si>
  <si>
    <t>Total Revenue</t>
  </si>
  <si>
    <t>Total Cost</t>
  </si>
  <si>
    <t>Total Profit</t>
  </si>
  <si>
    <t>Overall ROAS</t>
  </si>
  <si>
    <t>Total Conv.</t>
  </si>
  <si>
    <t>PAUSE Count</t>
  </si>
  <si>
    <t>SCALE Count</t>
  </si>
  <si>
    <t>TOP 5 PERFORMING CAMPAIGNS</t>
  </si>
  <si>
    <t>Rank</t>
  </si>
  <si>
    <t xml:space="preserve">Campaign </t>
  </si>
  <si>
    <t>Revenue</t>
  </si>
  <si>
    <t>Cost</t>
  </si>
  <si>
    <t>ROAS</t>
  </si>
  <si>
    <t>Profit</t>
  </si>
  <si>
    <t>Conversions</t>
  </si>
  <si>
    <t>ROI%</t>
  </si>
  <si>
    <t>WORST 5 CAMPAIGNS — PAUSE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</si>
</sst>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 Unicode MS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left" vertical="top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analysis\Project\Performance%20marketing%20project%20files\Performance_Marketing_Dataset_Project_Final.xlsx" TargetMode="External"/><Relationship Id="rId1" Type="http://schemas.openxmlformats.org/officeDocument/2006/relationships/externalLinkPath" Target="Performance_Marketing_Dataset_Projec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SHEET"/>
      <sheetName val="INSIGHTS"/>
      <sheetName val="PT_Campaign"/>
      <sheetName val="PT_Platform"/>
      <sheetName val="PT_LoanAmt"/>
      <sheetName val="raw_google "/>
      <sheetName val="raw_meta"/>
      <sheetName val="raw_tiktok"/>
    </sheetNames>
    <sheetDataSet>
      <sheetData sheetId="0"/>
      <sheetData sheetId="1"/>
      <sheetData sheetId="2">
        <row r="2">
          <cell r="A2" t="str">
            <v>Campaign_1</v>
          </cell>
          <cell r="B2">
            <v>29904.150000000005</v>
          </cell>
          <cell r="C2">
            <v>7960.529999999997</v>
          </cell>
          <cell r="D2">
            <v>530</v>
          </cell>
          <cell r="E2">
            <v>21943.619999999995</v>
          </cell>
          <cell r="F2">
            <v>73.145399999999981</v>
          </cell>
          <cell r="G2">
            <v>3.7565526415954738</v>
          </cell>
          <cell r="H2">
            <v>21943.62000000001</v>
          </cell>
          <cell r="I2">
            <v>275.65526415954736</v>
          </cell>
          <cell r="J2" t="str">
            <v>SCALE</v>
          </cell>
        </row>
        <row r="3">
          <cell r="A3" t="str">
            <v>Campaign_10</v>
          </cell>
          <cell r="B3">
            <v>25920.029999999992</v>
          </cell>
          <cell r="C3">
            <v>8454.7500000000018</v>
          </cell>
          <cell r="D3">
            <v>485</v>
          </cell>
          <cell r="E3">
            <v>17465.280000000002</v>
          </cell>
          <cell r="F3">
            <v>58.024186046511637</v>
          </cell>
          <cell r="G3">
            <v>3.0657358289718779</v>
          </cell>
          <cell r="H3">
            <v>17465.279999999992</v>
          </cell>
          <cell r="I3">
            <v>206.57358289718783</v>
          </cell>
          <cell r="J3" t="str">
            <v>MONITOR</v>
          </cell>
        </row>
        <row r="4">
          <cell r="A4" t="str">
            <v>Campaign_11</v>
          </cell>
          <cell r="B4">
            <v>28711.120000000032</v>
          </cell>
          <cell r="C4">
            <v>9293.9699999999993</v>
          </cell>
          <cell r="D4">
            <v>525</v>
          </cell>
          <cell r="E4">
            <v>19417.150000000001</v>
          </cell>
          <cell r="F4">
            <v>59.379663608562694</v>
          </cell>
          <cell r="G4">
            <v>3.089220214827467</v>
          </cell>
          <cell r="H4">
            <v>19417.150000000031</v>
          </cell>
          <cell r="I4">
            <v>208.92202148274669</v>
          </cell>
          <cell r="J4" t="str">
            <v>MONITOR</v>
          </cell>
        </row>
        <row r="5">
          <cell r="A5" t="str">
            <v>Campaign_12</v>
          </cell>
          <cell r="B5">
            <v>24986.099999999995</v>
          </cell>
          <cell r="C5">
            <v>8060.01</v>
          </cell>
          <cell r="D5">
            <v>455</v>
          </cell>
          <cell r="E5">
            <v>16926.090000000004</v>
          </cell>
          <cell r="F5">
            <v>56.608996655518411</v>
          </cell>
          <cell r="G5">
            <v>3.1000085607834227</v>
          </cell>
          <cell r="H5">
            <v>16926.089999999997</v>
          </cell>
          <cell r="I5">
            <v>210.00085607834228</v>
          </cell>
          <cell r="J5" t="str">
            <v>MONITOR</v>
          </cell>
        </row>
        <row r="6">
          <cell r="A6" t="str">
            <v>Campaign_13</v>
          </cell>
          <cell r="B6">
            <v>26333.130000000005</v>
          </cell>
          <cell r="C6">
            <v>8504.8000000000011</v>
          </cell>
          <cell r="D6">
            <v>472</v>
          </cell>
          <cell r="E6">
            <v>17828.329999999994</v>
          </cell>
          <cell r="F6">
            <v>56.959520766773146</v>
          </cell>
          <cell r="G6">
            <v>3.0962668140344278</v>
          </cell>
          <cell r="H6">
            <v>17828.330000000002</v>
          </cell>
          <cell r="I6">
            <v>209.62668140344275</v>
          </cell>
          <cell r="J6" t="str">
            <v>MONITOR</v>
          </cell>
        </row>
        <row r="7">
          <cell r="A7" t="str">
            <v>Campaign_14</v>
          </cell>
          <cell r="B7">
            <v>20658.269999999997</v>
          </cell>
          <cell r="C7">
            <v>7544.5600000000077</v>
          </cell>
          <cell r="D7">
            <v>370</v>
          </cell>
          <cell r="E7">
            <v>13113.710000000001</v>
          </cell>
          <cell r="F7">
            <v>47.341913357400728</v>
          </cell>
          <cell r="G7">
            <v>2.7381676333676155</v>
          </cell>
          <cell r="H7">
            <v>13113.709999999988</v>
          </cell>
          <cell r="I7">
            <v>173.81676333676154</v>
          </cell>
          <cell r="J7" t="str">
            <v>PAUSE</v>
          </cell>
        </row>
        <row r="8">
          <cell r="A8" t="str">
            <v>Campaign_15</v>
          </cell>
          <cell r="B8">
            <v>28813.239999999983</v>
          </cell>
          <cell r="C8">
            <v>8563.0899999999965</v>
          </cell>
          <cell r="D8">
            <v>521</v>
          </cell>
          <cell r="E8">
            <v>20250.14999999998</v>
          </cell>
          <cell r="F8">
            <v>65.961400651465738</v>
          </cell>
          <cell r="G8">
            <v>3.3648180738495093</v>
          </cell>
          <cell r="H8">
            <v>20250.149999999987</v>
          </cell>
          <cell r="I8">
            <v>236.48180738495091</v>
          </cell>
          <cell r="J8" t="str">
            <v>SCALE</v>
          </cell>
        </row>
        <row r="9">
          <cell r="A9" t="str">
            <v>Campaign_16</v>
          </cell>
          <cell r="B9">
            <v>24653.739999999987</v>
          </cell>
          <cell r="C9">
            <v>7829.3900000000067</v>
          </cell>
          <cell r="D9">
            <v>452</v>
          </cell>
          <cell r="E9">
            <v>16824.349999999999</v>
          </cell>
          <cell r="F9">
            <v>59.240669014084503</v>
          </cell>
          <cell r="G9">
            <v>3.1488711125643207</v>
          </cell>
          <cell r="H9">
            <v>16824.34999999998</v>
          </cell>
          <cell r="I9">
            <v>214.88711125643206</v>
          </cell>
          <cell r="J9" t="str">
            <v>MONITOR</v>
          </cell>
        </row>
        <row r="10">
          <cell r="A10" t="str">
            <v>Campaign_17</v>
          </cell>
          <cell r="B10">
            <v>29099.180000000029</v>
          </cell>
          <cell r="C10">
            <v>8198.2000000000007</v>
          </cell>
          <cell r="D10">
            <v>524</v>
          </cell>
          <cell r="E10">
            <v>20900.979999999996</v>
          </cell>
          <cell r="F10">
            <v>72.072344827586193</v>
          </cell>
          <cell r="G10">
            <v>3.5494596374814016</v>
          </cell>
          <cell r="H10">
            <v>20900.980000000029</v>
          </cell>
          <cell r="I10">
            <v>254.94596374814017</v>
          </cell>
          <cell r="J10" t="str">
            <v>SCALE</v>
          </cell>
        </row>
        <row r="11">
          <cell r="A11" t="str">
            <v>Campaign_18</v>
          </cell>
          <cell r="B11">
            <v>29190.479999999989</v>
          </cell>
          <cell r="C11">
            <v>9242.7800000000061</v>
          </cell>
          <cell r="D11">
            <v>536</v>
          </cell>
          <cell r="E11">
            <v>19947.699999999993</v>
          </cell>
          <cell r="F11">
            <v>64.14051446945335</v>
          </cell>
          <cell r="G11">
            <v>3.1581926649774168</v>
          </cell>
          <cell r="H11">
            <v>19947.699999999983</v>
          </cell>
          <cell r="I11">
            <v>215.81926649774169</v>
          </cell>
          <cell r="J11" t="str">
            <v>SCALE</v>
          </cell>
        </row>
        <row r="12">
          <cell r="A12" t="str">
            <v>Campaign_19</v>
          </cell>
          <cell r="B12">
            <v>27594.02</v>
          </cell>
          <cell r="C12">
            <v>8300.2999999999956</v>
          </cell>
          <cell r="D12">
            <v>495</v>
          </cell>
          <cell r="E12">
            <v>19293.719999999998</v>
          </cell>
          <cell r="F12">
            <v>65.181486486486477</v>
          </cell>
          <cell r="G12">
            <v>3.3244605616664478</v>
          </cell>
          <cell r="H12">
            <v>19293.720000000005</v>
          </cell>
          <cell r="I12">
            <v>232.44605616664478</v>
          </cell>
          <cell r="J12" t="str">
            <v>SCALE</v>
          </cell>
        </row>
        <row r="13">
          <cell r="A13" t="str">
            <v>Campaign_2</v>
          </cell>
          <cell r="B13">
            <v>30694.35999999999</v>
          </cell>
          <cell r="C13">
            <v>9643.3799999999937</v>
          </cell>
          <cell r="D13">
            <v>563</v>
          </cell>
          <cell r="E13">
            <v>21050.979999999992</v>
          </cell>
          <cell r="F13">
            <v>63.406566265060221</v>
          </cell>
          <cell r="G13">
            <v>3.1829462283970984</v>
          </cell>
          <cell r="H13">
            <v>21050.979999999996</v>
          </cell>
          <cell r="I13">
            <v>218.29462283970983</v>
          </cell>
          <cell r="J13" t="str">
            <v>SCALE</v>
          </cell>
        </row>
        <row r="14">
          <cell r="A14" t="str">
            <v>Campaign_20</v>
          </cell>
          <cell r="B14">
            <v>22153.03</v>
          </cell>
          <cell r="C14">
            <v>8651.5799999999981</v>
          </cell>
          <cell r="D14">
            <v>397</v>
          </cell>
          <cell r="E14">
            <v>13501.449999999993</v>
          </cell>
          <cell r="F14">
            <v>45.306879194630852</v>
          </cell>
          <cell r="G14">
            <v>2.5605762184479604</v>
          </cell>
          <cell r="H14">
            <v>13501.45</v>
          </cell>
          <cell r="I14">
            <v>156.05762184479602</v>
          </cell>
          <cell r="J14" t="str">
            <v>PAUSE</v>
          </cell>
        </row>
        <row r="15">
          <cell r="A15" t="str">
            <v>Campaign_3</v>
          </cell>
          <cell r="B15">
            <v>28563.440000000002</v>
          </cell>
          <cell r="C15">
            <v>8114.7000000000016</v>
          </cell>
          <cell r="D15">
            <v>513</v>
          </cell>
          <cell r="E15">
            <v>20448.739999999994</v>
          </cell>
          <cell r="F15">
            <v>67.045049180327851</v>
          </cell>
          <cell r="G15">
            <v>3.5199625371239844</v>
          </cell>
          <cell r="H15">
            <v>20448.740000000002</v>
          </cell>
          <cell r="I15">
            <v>251.99625371239844</v>
          </cell>
          <cell r="J15" t="str">
            <v>SCALE</v>
          </cell>
        </row>
        <row r="16">
          <cell r="A16" t="str">
            <v>Campaign_4</v>
          </cell>
          <cell r="B16">
            <v>31357.749999999982</v>
          </cell>
          <cell r="C16">
            <v>9082.06</v>
          </cell>
          <cell r="D16">
            <v>550</v>
          </cell>
          <cell r="E16">
            <v>22275.690000000002</v>
          </cell>
          <cell r="F16">
            <v>72.323668831168845</v>
          </cell>
          <cell r="G16">
            <v>3.4527133711955198</v>
          </cell>
          <cell r="H16">
            <v>22275.689999999981</v>
          </cell>
          <cell r="I16">
            <v>245.27133711955199</v>
          </cell>
          <cell r="J16" t="str">
            <v>SCALE</v>
          </cell>
        </row>
        <row r="17">
          <cell r="A17" t="str">
            <v>Campaign_5</v>
          </cell>
          <cell r="B17">
            <v>24830.15000000002</v>
          </cell>
          <cell r="C17">
            <v>7897.3099999999959</v>
          </cell>
          <cell r="D17">
            <v>447</v>
          </cell>
          <cell r="E17">
            <v>16932.840000000011</v>
          </cell>
          <cell r="F17">
            <v>57.791262798634847</v>
          </cell>
          <cell r="G17">
            <v>3.1441275573581424</v>
          </cell>
          <cell r="H17">
            <v>16932.840000000026</v>
          </cell>
          <cell r="I17">
            <v>214.4127557358143</v>
          </cell>
          <cell r="J17" t="str">
            <v>MONITOR</v>
          </cell>
        </row>
        <row r="18">
          <cell r="A18" t="str">
            <v>Campaign_6</v>
          </cell>
          <cell r="B18">
            <v>26591.139999999996</v>
          </cell>
          <cell r="C18">
            <v>7475.48</v>
          </cell>
          <cell r="D18">
            <v>485</v>
          </cell>
          <cell r="E18">
            <v>19115.660000000011</v>
          </cell>
          <cell r="F18">
            <v>69.765182481751864</v>
          </cell>
          <cell r="G18">
            <v>3.5571147270810699</v>
          </cell>
          <cell r="H18">
            <v>19115.659999999996</v>
          </cell>
          <cell r="I18">
            <v>255.71147270810698</v>
          </cell>
          <cell r="J18" t="str">
            <v>SCALE</v>
          </cell>
        </row>
        <row r="19">
          <cell r="A19" t="str">
            <v>Campaign_7</v>
          </cell>
          <cell r="B19">
            <v>27744.730000000018</v>
          </cell>
          <cell r="C19">
            <v>9128.9200000000019</v>
          </cell>
          <cell r="D19">
            <v>490</v>
          </cell>
          <cell r="E19">
            <v>18615.810000000016</v>
          </cell>
          <cell r="F19">
            <v>56.071716867469924</v>
          </cell>
          <cell r="G19">
            <v>3.0392127436761425</v>
          </cell>
          <cell r="H19">
            <v>18615.810000000016</v>
          </cell>
          <cell r="I19">
            <v>203.92127436761425</v>
          </cell>
          <cell r="J19" t="str">
            <v>MONITOR</v>
          </cell>
        </row>
        <row r="20">
          <cell r="A20" t="str">
            <v>Campaign_8</v>
          </cell>
          <cell r="B20">
            <v>32379.510000000006</v>
          </cell>
          <cell r="C20">
            <v>8866.2700000000023</v>
          </cell>
          <cell r="D20">
            <v>577</v>
          </cell>
          <cell r="E20">
            <v>23513.239999999998</v>
          </cell>
          <cell r="F20">
            <v>75.362948717948711</v>
          </cell>
          <cell r="G20">
            <v>3.6519878144924527</v>
          </cell>
          <cell r="H20">
            <v>23513.240000000005</v>
          </cell>
          <cell r="I20">
            <v>265.19878144924525</v>
          </cell>
          <cell r="J20" t="str">
            <v>SCALE</v>
          </cell>
        </row>
        <row r="21">
          <cell r="A21" t="str">
            <v>Campaign_9</v>
          </cell>
          <cell r="B21">
            <v>31998.950000000019</v>
          </cell>
          <cell r="C21">
            <v>9361.0999999999967</v>
          </cell>
          <cell r="D21">
            <v>568</v>
          </cell>
          <cell r="E21">
            <v>22637.850000000013</v>
          </cell>
          <cell r="F21">
            <v>66.386656891495633</v>
          </cell>
          <cell r="G21">
            <v>3.4182895172575907</v>
          </cell>
          <cell r="H21">
            <v>22637.85000000002</v>
          </cell>
          <cell r="I21">
            <v>241.82895172575903</v>
          </cell>
          <cell r="J21" t="str">
            <v>SCALE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5970-618E-4177-B95D-2C5ACF98176B}">
  <dimension ref="A1:H20"/>
  <sheetViews>
    <sheetView tabSelected="1" workbookViewId="0">
      <selection sqref="A1:XFD1048576"/>
    </sheetView>
  </sheetViews>
  <sheetFormatPr defaultRowHeight="14.4"/>
  <cols>
    <col min="1" max="1" width="27.5546875" customWidth="1"/>
    <col min="2" max="8" width="18.77734375" customWidth="1"/>
  </cols>
  <sheetData>
    <row r="1" spans="1:8" ht="21">
      <c r="A1" s="1" t="s">
        <v>0</v>
      </c>
      <c r="B1" s="1"/>
      <c r="C1" s="1"/>
      <c r="D1" s="1"/>
      <c r="E1" s="1"/>
      <c r="F1" s="1"/>
      <c r="G1" s="1"/>
    </row>
    <row r="2" spans="1:8" ht="21">
      <c r="A2" s="2" t="s">
        <v>1</v>
      </c>
      <c r="B2" s="3"/>
      <c r="C2" s="3"/>
      <c r="D2" s="3"/>
      <c r="E2" s="3"/>
      <c r="F2" s="3"/>
      <c r="G2" s="3"/>
    </row>
    <row r="3" spans="1:8" ht="1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8" ht="15.6">
      <c r="A4" s="5">
        <f>SUM([1]PT_Campaign!B2:B21)</f>
        <v>552176.52000000014</v>
      </c>
      <c r="B4" s="5">
        <f>SUM([1]PT_Campaign!C2:C21)</f>
        <v>170173.18</v>
      </c>
      <c r="C4" s="5">
        <f>SUM([1]PT_Campaign!E2:E21)</f>
        <v>382003.34</v>
      </c>
      <c r="D4" s="5">
        <f>IFERROR(A4/B4,0)</f>
        <v>3.2447916880909209</v>
      </c>
      <c r="E4" s="6">
        <f>SUM([1]PT_Campaign!D2:D21)</f>
        <v>9955</v>
      </c>
      <c r="F4" s="7">
        <f>COUNTIF([1]PT_Campaign!J2:J21,"PAUSE")</f>
        <v>2</v>
      </c>
      <c r="G4" s="8">
        <f>COUNTIF([1]PT_Campaign!J2:J21,"SCALE")</f>
        <v>11</v>
      </c>
    </row>
    <row r="5" spans="1:8">
      <c r="D5" s="9"/>
    </row>
    <row r="6" spans="1:8" ht="21">
      <c r="A6" s="10" t="s">
        <v>9</v>
      </c>
      <c r="B6" s="10"/>
      <c r="C6" s="10"/>
      <c r="D6" s="10"/>
      <c r="E6" s="10"/>
      <c r="F6" s="10"/>
      <c r="G6" s="10"/>
      <c r="H6" s="10"/>
    </row>
    <row r="7" spans="1:8">
      <c r="A7" s="11" t="s">
        <v>10</v>
      </c>
      <c r="B7" s="11" t="s">
        <v>11</v>
      </c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17</v>
      </c>
    </row>
    <row r="8" spans="1:8">
      <c r="A8" s="12">
        <v>1</v>
      </c>
      <c r="B8" s="12" t="str">
        <f>INDEX([1]PT_Campaign!$A$2:$A$21,MATCH(LARGE([1]PT_Campaign!$G$2:$G$21,A8),[1]PT_Campaign!$G$2:$G$21,0))</f>
        <v>Campaign_1</v>
      </c>
      <c r="C8" s="12">
        <f>INDEX([1]PT_Campaign!$B$2:$B$21,MATCH(LARGE([1]PT_Campaign!$G$2:$G$21,A8),[1]PT_Campaign!$G$2:$G$21,0))</f>
        <v>29904.150000000005</v>
      </c>
      <c r="D8" s="13">
        <f>INDEX([1]PT_Campaign!$C$2:$C$21,MATCH(LARGE([1]PT_Campaign!$G$2:$G$21,A8),[1]PT_Campaign!$G$2:$G$21,0))</f>
        <v>7960.529999999997</v>
      </c>
      <c r="E8" s="14">
        <f>IFERROR(C8/D8,0)</f>
        <v>3.7565526415954738</v>
      </c>
      <c r="F8" s="14">
        <f>C8-D8</f>
        <v>21943.62000000001</v>
      </c>
      <c r="G8" s="14">
        <f>IFERROR(VLOOKUP(B8,[1]PT_Campaign!$A$2:$I$21,4,0),0)</f>
        <v>530</v>
      </c>
      <c r="H8" s="14">
        <f>IFERROR((C8-D8)/D8*100,0)</f>
        <v>275.65526415954736</v>
      </c>
    </row>
    <row r="9" spans="1:8">
      <c r="A9" s="12">
        <v>2</v>
      </c>
      <c r="B9" s="12" t="str">
        <f>INDEX([1]PT_Campaign!$A$2:$A$21,MATCH(LARGE([1]PT_Campaign!$G$2:$G$21,A9),[1]PT_Campaign!$G$2:$G$21,0))</f>
        <v>Campaign_8</v>
      </c>
      <c r="C9" s="12">
        <f>INDEX([1]PT_Campaign!$B$2:$B$21,MATCH(LARGE([1]PT_Campaign!$G$2:$G$21,A9),[1]PT_Campaign!$G$2:$G$21,0))</f>
        <v>32379.510000000006</v>
      </c>
      <c r="D9" s="13">
        <f>INDEX([1]PT_Campaign!$C$2:$C$21,MATCH(LARGE([1]PT_Campaign!$G$2:$G$21,A9),[1]PT_Campaign!$G$2:$G$21,0))</f>
        <v>8866.2700000000023</v>
      </c>
      <c r="E9" s="14">
        <f t="shared" ref="E9:E12" si="0">IFERROR(C9/D9,0)</f>
        <v>3.6519878144924527</v>
      </c>
      <c r="F9" s="14">
        <f t="shared" ref="F9:F12" si="1">C9-D9</f>
        <v>23513.240000000005</v>
      </c>
      <c r="G9" s="14">
        <f>IFERROR(VLOOKUP(B9,[1]PT_Campaign!$A$2:$I$21,4,0),0)</f>
        <v>577</v>
      </c>
      <c r="H9" s="14">
        <f t="shared" ref="H9:H12" si="2">IFERROR((C9-D9)/D9*100,0)</f>
        <v>265.19878144924525</v>
      </c>
    </row>
    <row r="10" spans="1:8">
      <c r="A10" s="12">
        <v>3</v>
      </c>
      <c r="B10" s="12" t="str">
        <f>INDEX([1]PT_Campaign!$A$2:$A$21,MATCH(LARGE([1]PT_Campaign!$G$2:$G$21,A10),[1]PT_Campaign!$G$2:$G$21,0))</f>
        <v>Campaign_6</v>
      </c>
      <c r="C10" s="12">
        <f>INDEX([1]PT_Campaign!$B$2:$B$21,MATCH(LARGE([1]PT_Campaign!$G$2:$G$21,A10),[1]PT_Campaign!$G$2:$G$21,0))</f>
        <v>26591.139999999996</v>
      </c>
      <c r="D10" s="13">
        <f>INDEX([1]PT_Campaign!$C$2:$C$21,MATCH(LARGE([1]PT_Campaign!$G$2:$G$21,A10),[1]PT_Campaign!$G$2:$G$21,0))</f>
        <v>7475.48</v>
      </c>
      <c r="E10" s="14">
        <f t="shared" si="0"/>
        <v>3.5571147270810699</v>
      </c>
      <c r="F10" s="14">
        <f t="shared" si="1"/>
        <v>19115.659999999996</v>
      </c>
      <c r="G10" s="14">
        <f>IFERROR(VLOOKUP(B10,[1]PT_Campaign!$A$2:$I$21,4,0),0)</f>
        <v>485</v>
      </c>
      <c r="H10" s="14">
        <f t="shared" si="2"/>
        <v>255.71147270810698</v>
      </c>
    </row>
    <row r="11" spans="1:8">
      <c r="A11" s="12">
        <v>4</v>
      </c>
      <c r="B11" s="12" t="str">
        <f>INDEX([1]PT_Campaign!$A$2:$A$21,MATCH(LARGE([1]PT_Campaign!$G$2:$G$21,A11),[1]PT_Campaign!$G$2:$G$21,0))</f>
        <v>Campaign_17</v>
      </c>
      <c r="C11" s="12">
        <f>INDEX([1]PT_Campaign!$B$2:$B$21,MATCH(LARGE([1]PT_Campaign!$G$2:$G$21,A11),[1]PT_Campaign!$G$2:$G$21,0))</f>
        <v>29099.180000000029</v>
      </c>
      <c r="D11" s="13">
        <f>INDEX([1]PT_Campaign!$C$2:$C$21,MATCH(LARGE([1]PT_Campaign!$G$2:$G$21,A11),[1]PT_Campaign!$G$2:$G$21,0))</f>
        <v>8198.2000000000007</v>
      </c>
      <c r="E11" s="14">
        <f t="shared" si="0"/>
        <v>3.5494596374814016</v>
      </c>
      <c r="F11" s="14">
        <f t="shared" si="1"/>
        <v>20900.980000000029</v>
      </c>
      <c r="G11" s="14">
        <f>IFERROR(VLOOKUP(B11,[1]PT_Campaign!$A$2:$I$21,4,0),0)</f>
        <v>524</v>
      </c>
      <c r="H11" s="14">
        <f t="shared" si="2"/>
        <v>254.94596374814017</v>
      </c>
    </row>
    <row r="12" spans="1:8">
      <c r="A12" s="12">
        <v>5</v>
      </c>
      <c r="B12" s="12" t="str">
        <f>INDEX([1]PT_Campaign!$A$2:$A$21,MATCH(LARGE([1]PT_Campaign!$G$2:$G$21,A12),[1]PT_Campaign!$G$2:$G$21,0))</f>
        <v>Campaign_3</v>
      </c>
      <c r="C12" s="12">
        <f>INDEX([1]PT_Campaign!$B$2:$B$21,MATCH(LARGE([1]PT_Campaign!$G$2:$G$21,A12),[1]PT_Campaign!$G$2:$G$21,0))</f>
        <v>28563.440000000002</v>
      </c>
      <c r="D12" s="13">
        <f>INDEX([1]PT_Campaign!$C$2:$C$21,MATCH(LARGE([1]PT_Campaign!$G$2:$G$21,A12),[1]PT_Campaign!$G$2:$G$21,0))</f>
        <v>8114.7000000000016</v>
      </c>
      <c r="E12" s="14">
        <f t="shared" si="0"/>
        <v>3.5199625371239844</v>
      </c>
      <c r="F12" s="14">
        <f t="shared" si="1"/>
        <v>20448.740000000002</v>
      </c>
      <c r="G12" s="14">
        <f>IFERROR(VLOOKUP(B12,[1]PT_Campaign!$A$2:$I$21,4,0),0)</f>
        <v>513</v>
      </c>
      <c r="H12" s="14">
        <f t="shared" si="2"/>
        <v>251.99625371239844</v>
      </c>
    </row>
    <row r="13" spans="1:8">
      <c r="A13" s="15"/>
      <c r="B13" s="15"/>
      <c r="C13" s="15"/>
      <c r="D13" s="15"/>
      <c r="E13" s="15"/>
      <c r="F13" s="15"/>
      <c r="G13" s="15"/>
      <c r="H13" s="15"/>
    </row>
    <row r="14" spans="1:8" ht="21">
      <c r="A14" s="16" t="s">
        <v>18</v>
      </c>
      <c r="B14" s="16"/>
      <c r="C14" s="16"/>
      <c r="D14" s="16"/>
      <c r="E14" s="16"/>
      <c r="F14" s="16"/>
      <c r="G14" s="16"/>
      <c r="H14" s="16"/>
    </row>
    <row r="15" spans="1:8">
      <c r="A15" s="17" t="s">
        <v>10</v>
      </c>
      <c r="B15" s="17" t="s">
        <v>11</v>
      </c>
      <c r="C15" s="17" t="s">
        <v>12</v>
      </c>
      <c r="D15" s="17" t="s">
        <v>13</v>
      </c>
      <c r="E15" s="17" t="s">
        <v>14</v>
      </c>
      <c r="F15" s="17" t="s">
        <v>15</v>
      </c>
      <c r="G15" s="17" t="s">
        <v>16</v>
      </c>
      <c r="H15" s="17" t="s">
        <v>17</v>
      </c>
    </row>
    <row r="16" spans="1:8">
      <c r="A16" s="12">
        <v>1</v>
      </c>
      <c r="B16" s="12" t="str">
        <f>INDEX([1]PT_Campaign!$A$2:$A$21,MATCH(SMALL([1]PT_Campaign!$G$2:$G$21,A16),[1]PT_Campaign!$G$2:$G$21,0))</f>
        <v>Campaign_20</v>
      </c>
      <c r="C16" s="12">
        <f>INDEX([1]PT_Campaign!$B$2:$B$21,MATCH(SMALL([1]PT_Campaign!$G$2:$G$21,A16),[1]PT_Campaign!$G$2:$G$21,0))</f>
        <v>22153.03</v>
      </c>
      <c r="D16" s="13">
        <f>INDEX([1]PT_Campaign!$C$2:$C$21,MATCH(SMALL([1]PT_Campaign!$G$2:$G$21,A16),[1]PT_Campaign!$G$2:$G$21,0))</f>
        <v>8651.5799999999981</v>
      </c>
      <c r="E16" s="14">
        <f>IFERROR(C16/D16,0)</f>
        <v>2.5605762184479604</v>
      </c>
      <c r="F16" s="14">
        <f>C16-D16</f>
        <v>13501.45</v>
      </c>
      <c r="G16" s="14">
        <f>IFERROR(VLOOKUP(B16,[1]PT_Campaign!$A$2:$I$21,4,0),0)</f>
        <v>397</v>
      </c>
      <c r="H16" s="14">
        <f>IFERROR((C16-D16)/D16*100,0)</f>
        <v>156.05762184479602</v>
      </c>
    </row>
    <row r="17" spans="1:8">
      <c r="A17" s="12">
        <v>2</v>
      </c>
      <c r="B17" s="12" t="str">
        <f>INDEX([1]PT_Campaign!$A$2:$A$21,MATCH(SMALL([1]PT_Campaign!$G$2:$G$21,A17),[1]PT_Campaign!$G$2:$G$21,0))</f>
        <v>Campaign_14</v>
      </c>
      <c r="C17" s="12">
        <f>INDEX([1]PT_Campaign!$B$2:$B$21,MATCH(SMALL([1]PT_Campaign!$G$2:$G$21,A17),[1]PT_Campaign!$G$2:$G$21,0))</f>
        <v>20658.269999999997</v>
      </c>
      <c r="D17" s="13">
        <f>INDEX([1]PT_Campaign!$C$2:$C$21,MATCH(SMALL([1]PT_Campaign!$G$2:$G$21,A17),[1]PT_Campaign!$G$2:$G$21,0))</f>
        <v>7544.5600000000077</v>
      </c>
      <c r="E17" s="14">
        <f t="shared" ref="E17:E20" si="3">IFERROR(C17/D17,0)</f>
        <v>2.7381676333676155</v>
      </c>
      <c r="F17" s="14">
        <f t="shared" ref="F17:F20" si="4">C17-D17</f>
        <v>13113.709999999988</v>
      </c>
      <c r="G17" s="14">
        <f>IFERROR(VLOOKUP(B17,[1]PT_Campaign!$A$2:$I$21,4,0),0)</f>
        <v>370</v>
      </c>
      <c r="H17" s="14">
        <f t="shared" ref="H17:H20" si="5">IFERROR((C17-D17)/D17*100,0)</f>
        <v>173.81676333676154</v>
      </c>
    </row>
    <row r="18" spans="1:8">
      <c r="A18" s="12">
        <v>3</v>
      </c>
      <c r="B18" s="12" t="str">
        <f>INDEX([1]PT_Campaign!$A$2:$A$21,MATCH(SMALL([1]PT_Campaign!$G$2:$G$21,A18),[1]PT_Campaign!$G$2:$G$21,0))</f>
        <v>Campaign_7</v>
      </c>
      <c r="C18" s="12">
        <f>INDEX([1]PT_Campaign!$B$2:$B$21,MATCH(SMALL([1]PT_Campaign!$G$2:$G$21,A18),[1]PT_Campaign!$G$2:$G$21,0))</f>
        <v>27744.730000000018</v>
      </c>
      <c r="D18" s="13">
        <f>INDEX([1]PT_Campaign!$C$2:$C$21,MATCH(SMALL([1]PT_Campaign!$G$2:$G$21,A18),[1]PT_Campaign!$G$2:$G$21,0))</f>
        <v>9128.9200000000019</v>
      </c>
      <c r="E18" s="14">
        <f t="shared" si="3"/>
        <v>3.0392127436761425</v>
      </c>
      <c r="F18" s="14">
        <f t="shared" si="4"/>
        <v>18615.810000000016</v>
      </c>
      <c r="G18" s="14">
        <f>IFERROR(VLOOKUP(B18,[1]PT_Campaign!$A$2:$I$21,4,0),0)</f>
        <v>490</v>
      </c>
      <c r="H18" s="14">
        <f t="shared" si="5"/>
        <v>203.92127436761425</v>
      </c>
    </row>
    <row r="19" spans="1:8">
      <c r="A19" s="12">
        <v>4</v>
      </c>
      <c r="B19" s="12" t="str">
        <f>INDEX([1]PT_Campaign!$A$2:$A$21,MATCH(SMALL([1]PT_Campaign!$G$2:$G$21,A19),[1]PT_Campaign!$G$2:$G$21,0))</f>
        <v>Campaign_10</v>
      </c>
      <c r="C19" s="12">
        <f>INDEX([1]PT_Campaign!$B$2:$B$21,MATCH(SMALL([1]PT_Campaign!$G$2:$G$21,A19),[1]PT_Campaign!$G$2:$G$21,0))</f>
        <v>25920.029999999992</v>
      </c>
      <c r="D19" s="13">
        <f>INDEX([1]PT_Campaign!$C$2:$C$21,MATCH(SMALL([1]PT_Campaign!$G$2:$G$21,A19),[1]PT_Campaign!$G$2:$G$21,0))</f>
        <v>8454.7500000000018</v>
      </c>
      <c r="E19" s="14">
        <f t="shared" si="3"/>
        <v>3.0657358289718779</v>
      </c>
      <c r="F19" s="14">
        <f t="shared" si="4"/>
        <v>17465.279999999992</v>
      </c>
      <c r="G19" s="14">
        <f>IFERROR(VLOOKUP(B19,[1]PT_Campaign!$A$2:$I$21,4,0),0)</f>
        <v>485</v>
      </c>
      <c r="H19" s="14">
        <f t="shared" si="5"/>
        <v>206.57358289718783</v>
      </c>
    </row>
    <row r="20" spans="1:8">
      <c r="A20" s="12">
        <v>5</v>
      </c>
      <c r="B20" s="12" t="str">
        <f>INDEX([1]PT_Campaign!$A$2:$A$21,MATCH(SMALL([1]PT_Campaign!$G$2:$G$21,A20),[1]PT_Campaign!$G$2:$G$21,0))</f>
        <v>Campaign_11</v>
      </c>
      <c r="C20" s="12">
        <f>INDEX([1]PT_Campaign!$B$2:$B$21,MATCH(SMALL([1]PT_Campaign!$G$2:$G$21,A20),[1]PT_Campaign!$G$2:$G$21,0))</f>
        <v>28711.120000000032</v>
      </c>
      <c r="D20" s="13">
        <f>INDEX([1]PT_Campaign!$C$2:$C$21,MATCH(SMALL([1]PT_Campaign!$G$2:$G$21,A20),[1]PT_Campaign!$G$2:$G$21,0))</f>
        <v>9293.9699999999993</v>
      </c>
      <c r="E20" s="14">
        <f t="shared" si="3"/>
        <v>3.089220214827467</v>
      </c>
      <c r="F20" s="14">
        <f t="shared" si="4"/>
        <v>19417.150000000031</v>
      </c>
      <c r="G20" s="14">
        <f>IFERROR(VLOOKUP(B20,[1]PT_Campaign!$A$2:$I$21,4,0),0)</f>
        <v>525</v>
      </c>
      <c r="H20" s="14">
        <f t="shared" si="5"/>
        <v>208.92202148274669</v>
      </c>
    </row>
  </sheetData>
  <mergeCells count="3">
    <mergeCell ref="A1:G1"/>
    <mergeCell ref="A6:H6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Soni</dc:creator>
  <cp:lastModifiedBy>Sahil Soni</cp:lastModifiedBy>
  <dcterms:created xsi:type="dcterms:W3CDTF">2026-05-09T21:18:28Z</dcterms:created>
  <dcterms:modified xsi:type="dcterms:W3CDTF">2026-05-09T21:19:26Z</dcterms:modified>
</cp:coreProperties>
</file>